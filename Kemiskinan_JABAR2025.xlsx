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6F3E9C12-C242-46F7-AF20-A57955A21469}" xr6:coauthVersionLast="47" xr6:coauthVersionMax="47" xr10:uidLastSave="{00000000-0000-0000-0000-000000000000}"/>
  <bookViews>
    <workbookView xWindow="-110" yWindow="-110" windowWidth="19420" windowHeight="10300" xr2:uid="{B45AAE9A-8F94-456A-A0D2-7DFC48A41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C4" i="1"/>
  <c r="C37" i="1"/>
  <c r="C36" i="1"/>
  <c r="C35" i="1"/>
  <c r="C34" i="1"/>
  <c r="C33" i="1"/>
  <c r="F4" i="1"/>
  <c r="E4" i="1"/>
  <c r="C21" i="1"/>
  <c r="C11" i="1"/>
  <c r="C23" i="1"/>
  <c r="C12" i="1"/>
  <c r="C9" i="1"/>
  <c r="C18" i="1"/>
  <c r="C6" i="1"/>
  <c r="C8" i="1"/>
  <c r="C7" i="1"/>
  <c r="C14" i="1"/>
  <c r="C13" i="1"/>
  <c r="C17" i="1"/>
  <c r="C19" i="1"/>
  <c r="C26" i="1"/>
  <c r="C10" i="1"/>
  <c r="C16" i="1"/>
  <c r="C24" i="1"/>
  <c r="C20" i="1"/>
  <c r="C29" i="1"/>
  <c r="C15" i="1"/>
  <c r="C28" i="1"/>
  <c r="C30" i="1"/>
  <c r="C27" i="1"/>
  <c r="C5" i="1"/>
  <c r="C25" i="1"/>
  <c r="C22" i="1"/>
</calcChain>
</file>

<file path=xl/sharedStrings.xml><?xml version="1.0" encoding="utf-8"?>
<sst xmlns="http://schemas.openxmlformats.org/spreadsheetml/2006/main" count="42" uniqueCount="28">
  <si>
    <t>Kabupaten/
Kota</t>
  </si>
  <si>
    <t>Persentase 
Kemiskinan</t>
  </si>
  <si>
    <t>Ranking 
Daerah</t>
  </si>
  <si>
    <t>Rata-rata 
Kemiskinan</t>
  </si>
  <si>
    <t>Nilai 
Tertinggi</t>
  </si>
  <si>
    <t>Nilai 
Terendah</t>
  </si>
  <si>
    <t>Jumlah Kemiskinan di Jawa Barat Tahun 2025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</si>
  <si>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</si>
  <si>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</si>
  <si>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</si>
  <si>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</si>
  <si>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</si>
  <si>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</si>
  <si>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</si>
  <si>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</si>
  <si>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</si>
  <si>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</si>
  <si>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</si>
  <si>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</si>
  <si>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</si>
  <si>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</si>
  <si>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</si>
  <si>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</si>
  <si>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</si>
  <si>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</si>
  <si>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Depok</t>
  </si>
  <si>
    <t>Cimahi</t>
  </si>
  <si>
    <t>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</si>
</sst>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top" wrapText="1"/>
    </xf>
    <xf numFmtId="2" fontId="2" fillId="2" borderId="1" xfId="0" applyNumberFormat="1" applyFont="1" applyFill="1" applyBorder="1" applyAlignment="1">
      <alignment horizontal="center" vertical="top" wrapText="1"/>
    </xf>
    <xf numFmtId="0" fontId="3" fillId="0" borderId="1" xfId="0" applyFont="1" applyBorder="1"/>
    <xf numFmtId="43" fontId="3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Tertinggi di Jawa Barat Tahun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Indramayu</c:v>
                </c:pt>
                <c:pt idx="1">
                  <c:v>Tasikmalaya</c:v>
                </c:pt>
                <c:pt idx="2">
                  <c:v>Kuningan</c:v>
                </c:pt>
                <c:pt idx="3">
                  <c:v>Majalengka</c:v>
                </c:pt>
                <c:pt idx="4">
                  <c:v>Cirebon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11.02</c:v>
                </c:pt>
                <c:pt idx="1">
                  <c:v>10.84</c:v>
                </c:pt>
                <c:pt idx="2">
                  <c:v>10.74</c:v>
                </c:pt>
                <c:pt idx="3">
                  <c:v>10.31</c:v>
                </c:pt>
                <c:pt idx="4">
                  <c:v>10.23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8-40C7-AEA3-92C8254BBD61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Indramayu</c:v>
                </c:pt>
                <c:pt idx="1">
                  <c:v>Tasikmalaya</c:v>
                </c:pt>
                <c:pt idx="2">
                  <c:v>Kuningan</c:v>
                </c:pt>
                <c:pt idx="3">
                  <c:v>Majalengka</c:v>
                </c:pt>
                <c:pt idx="4">
                  <c:v>Cirebon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F8-40C7-AEA3-92C8254BBD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3165247"/>
        <c:axId val="1523403695"/>
      </c:barChart>
      <c:catAx>
        <c:axId val="152316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3403695"/>
        <c:crosses val="autoZero"/>
        <c:auto val="1"/>
        <c:lblAlgn val="ctr"/>
        <c:lblOffset val="100"/>
        <c:noMultiLvlLbl val="0"/>
      </c:catAx>
      <c:valAx>
        <c:axId val="152340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316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Terendah di Jawa Tengah Tahun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Sheet1!$B$32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Sheet1!$A$33:$A$37</c:f>
              <c:strCache>
                <c:ptCount val="5"/>
                <c:pt idx="0">
                  <c:v>Bekasi</c:v>
                </c:pt>
                <c:pt idx="1">
                  <c:v>Cimahi</c:v>
                </c:pt>
                <c:pt idx="2">
                  <c:v>Bekasi</c:v>
                </c:pt>
                <c:pt idx="3">
                  <c:v>Bandung</c:v>
                </c:pt>
                <c:pt idx="4">
                  <c:v>Depok</c:v>
                </c:pt>
              </c:strCache>
            </c:strRef>
          </c:cat>
          <c:val>
            <c:numRef>
              <c:f>Sheet1!$B$33:$B$37</c:f>
              <c:numCache>
                <c:formatCode>General</c:formatCode>
                <c:ptCount val="5"/>
                <c:pt idx="0">
                  <c:v>4.3600000000000003</c:v>
                </c:pt>
                <c:pt idx="1">
                  <c:v>4.2</c:v>
                </c:pt>
                <c:pt idx="2">
                  <c:v>3.96</c:v>
                </c:pt>
                <c:pt idx="3">
                  <c:v>3.78</c:v>
                </c:pt>
                <c:pt idx="4">
                  <c:v>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2-4BA8-937B-5944C1C04906}"/>
            </c:ext>
          </c:extLst>
        </c:ser>
        <c:ser>
          <c:idx val="1"/>
          <c:order val="1"/>
          <c:tx>
            <c:strRef>
              <c:f>Sheet1!$C$32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Sheet1!$A$33:$A$37</c:f>
              <c:strCache>
                <c:ptCount val="5"/>
                <c:pt idx="0">
                  <c:v>Bekasi</c:v>
                </c:pt>
                <c:pt idx="1">
                  <c:v>Cimahi</c:v>
                </c:pt>
                <c:pt idx="2">
                  <c:v>Bekasi</c:v>
                </c:pt>
                <c:pt idx="3">
                  <c:v>Bandung</c:v>
                </c:pt>
                <c:pt idx="4">
                  <c:v>Depok</c:v>
                </c:pt>
              </c:strCache>
            </c:strRef>
          </c:cat>
          <c:val>
            <c:numRef>
              <c:f>Sheet1!$C$33:$C$37</c:f>
              <c:numCache>
                <c:formatCode>General</c:formatCode>
                <c:ptCount val="5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2-4BA8-937B-5944C1C049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5584111"/>
        <c:axId val="1414140079"/>
      </c:barChart>
      <c:catAx>
        <c:axId val="142558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14140079"/>
        <c:crosses val="autoZero"/>
        <c:auto val="1"/>
        <c:lblAlgn val="ctr"/>
        <c:lblOffset val="100"/>
        <c:noMultiLvlLbl val="0"/>
      </c:catAx>
      <c:valAx>
        <c:axId val="14141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2558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15874</xdr:colOff>
      <xdr:row>43</xdr:row>
      <xdr:rowOff>53974</xdr:rowOff>
    </xdr:from>
    <xdr:to>
      <xdr:col>5</xdr:col>
      <xdr:colOff>781050</xdr:colOff>
      <xdr:row>59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B71382-F661-07C2-CF66-2988EE1F2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</xdr:colOff>
      <xdr:row>61</xdr:row>
      <xdr:rowOff>15874</xdr:rowOff>
    </xdr:from>
    <xdr:to>
      <xdr:col>5</xdr:col>
      <xdr:colOff>774700</xdr:colOff>
      <xdr:row>77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65BFCA-3466-4F9F-B66B-0C4CCEB89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18C3-F9A3-463A-A322-6C19CE310C94}">
  <dimension ref="A1:F37"/>
  <sheetViews>
    <sheetView tabSelected="1" topLeftCell="A36" zoomScaleNormal="100" workbookViewId="0">
      <selection activeCell="H64" sqref="H64"/>
    </sheetView>
  </sheetViews>
  <sheetFormatPr defaultRowHeight="15.5" x14ac:dyDescent="0.35"/>
  <cols>
    <col min="1" max="1" width="14.08984375" style="4" bestFit="1" customWidth="1"/>
    <col min="2" max="2" width="14.26953125" style="4" customWidth="1"/>
    <col min="3" max="3" width="11.54296875" style="4" customWidth="1"/>
    <col min="4" max="4" width="14.36328125" style="4" customWidth="1"/>
    <col min="5" max="5" width="11.1796875" style="4" customWidth="1"/>
    <col min="6" max="6" width="11.54296875" style="4" customWidth="1"/>
    <col min="7" max="16384" width="8.7265625" style="4"/>
  </cols>
  <sheetData>
    <row r="1" spans="1:6" x14ac:dyDescent="0.35">
      <c r="A1" s="1" t="s">
        <v>6</v>
      </c>
      <c r="B1" s="2"/>
      <c r="C1" s="3"/>
    </row>
    <row r="2" spans="1:6" x14ac:dyDescent="0.35">
      <c r="B2" s="2"/>
      <c r="C2" s="3"/>
    </row>
    <row r="3" spans="1:6" ht="30" x14ac:dyDescent="0.35">
      <c r="A3" s="5" t="s">
        <v>0</v>
      </c>
      <c r="B3" s="6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x14ac:dyDescent="0.35">
      <c r="A4" s="7" t="s">
        <v>18</v>
      </c>
      <c r="B4" s="7">
        <v>11.02</v>
      </c>
      <c r="C4" s="7">
        <f>RANK(B4,$B$4:$B$30,0)</f>
        <v>1</v>
      </c>
      <c r="D4" s="8">
        <f>AVERAGE($B$4:$B$30)</f>
        <v>7.5955555555555554</v>
      </c>
      <c r="E4" s="7">
        <f>MAX($B$4:$B$30)</f>
        <v>11.02</v>
      </c>
      <c r="F4" s="7">
        <f>MIN($B$4:$B$30)</f>
        <v>2.31</v>
      </c>
    </row>
    <row r="5" spans="1:6" x14ac:dyDescent="0.35">
      <c r="A5" s="7" t="s">
        <v>12</v>
      </c>
      <c r="B5" s="7">
        <v>10.84</v>
      </c>
      <c r="C5" s="7">
        <f t="shared" ref="C5:C30" si="0">RANK(B5,$B$4:$B$30,0)</f>
        <v>2</v>
      </c>
      <c r="D5" s="7"/>
      <c r="E5" s="7"/>
      <c r="F5" s="7"/>
    </row>
    <row r="6" spans="1:6" x14ac:dyDescent="0.35">
      <c r="A6" s="7" t="s">
        <v>14</v>
      </c>
      <c r="B6" s="7">
        <v>10.74</v>
      </c>
      <c r="C6" s="7">
        <f t="shared" si="0"/>
        <v>3</v>
      </c>
      <c r="D6" s="7"/>
      <c r="E6" s="7"/>
      <c r="F6" s="7"/>
    </row>
    <row r="7" spans="1:6" x14ac:dyDescent="0.35">
      <c r="A7" s="7" t="s">
        <v>16</v>
      </c>
      <c r="B7" s="7">
        <v>10.31</v>
      </c>
      <c r="C7" s="7">
        <f t="shared" si="0"/>
        <v>4</v>
      </c>
      <c r="D7" s="7"/>
      <c r="E7" s="7"/>
      <c r="F7" s="7"/>
    </row>
    <row r="8" spans="1:6" x14ac:dyDescent="0.35">
      <c r="A8" s="7" t="s">
        <v>15</v>
      </c>
      <c r="B8" s="7">
        <v>10.23</v>
      </c>
      <c r="C8" s="7">
        <f t="shared" si="0"/>
        <v>5</v>
      </c>
      <c r="D8" s="7"/>
      <c r="E8" s="7"/>
      <c r="F8" s="7"/>
    </row>
    <row r="9" spans="1:6" x14ac:dyDescent="0.35">
      <c r="A9" s="7" t="s">
        <v>12</v>
      </c>
      <c r="B9" s="7">
        <v>10.15</v>
      </c>
      <c r="C9" s="7">
        <f t="shared" si="0"/>
        <v>6</v>
      </c>
      <c r="D9" s="7"/>
      <c r="E9" s="7"/>
      <c r="F9" s="7"/>
    </row>
    <row r="10" spans="1:6" x14ac:dyDescent="0.35">
      <c r="A10" s="7" t="s">
        <v>23</v>
      </c>
      <c r="B10" s="7">
        <v>9.8699999999999992</v>
      </c>
      <c r="C10" s="7">
        <f t="shared" si="0"/>
        <v>7</v>
      </c>
      <c r="D10" s="7"/>
      <c r="E10" s="7"/>
      <c r="F10" s="7"/>
    </row>
    <row r="11" spans="1:6" x14ac:dyDescent="0.35">
      <c r="A11" s="7" t="s">
        <v>9</v>
      </c>
      <c r="B11" s="7">
        <v>9.82</v>
      </c>
      <c r="C11" s="7">
        <f t="shared" si="0"/>
        <v>8</v>
      </c>
      <c r="D11" s="7"/>
      <c r="E11" s="7"/>
      <c r="F11" s="7"/>
    </row>
    <row r="12" spans="1:6" x14ac:dyDescent="0.35">
      <c r="A12" s="7" t="s">
        <v>11</v>
      </c>
      <c r="B12" s="7">
        <v>9.39</v>
      </c>
      <c r="C12" s="7">
        <f t="shared" si="0"/>
        <v>9</v>
      </c>
      <c r="D12" s="7"/>
      <c r="E12" s="7"/>
      <c r="F12" s="7"/>
    </row>
    <row r="13" spans="1:6" x14ac:dyDescent="0.35">
      <c r="A13" s="7" t="s">
        <v>19</v>
      </c>
      <c r="B13" s="7">
        <v>9.23</v>
      </c>
      <c r="C13" s="7">
        <f t="shared" si="0"/>
        <v>10</v>
      </c>
      <c r="D13" s="7"/>
      <c r="E13" s="7"/>
      <c r="F13" s="7"/>
    </row>
    <row r="14" spans="1:6" x14ac:dyDescent="0.35">
      <c r="A14" s="7" t="s">
        <v>17</v>
      </c>
      <c r="B14" s="7">
        <v>8.81</v>
      </c>
      <c r="C14" s="7">
        <f t="shared" si="0"/>
        <v>11</v>
      </c>
      <c r="D14" s="7"/>
      <c r="E14" s="7"/>
      <c r="F14" s="7"/>
    </row>
    <row r="15" spans="1:6" x14ac:dyDescent="0.35">
      <c r="A15" s="7" t="s">
        <v>15</v>
      </c>
      <c r="B15" s="7">
        <v>8.66</v>
      </c>
      <c r="C15" s="7">
        <f t="shared" si="0"/>
        <v>12</v>
      </c>
      <c r="D15" s="7"/>
      <c r="E15" s="7"/>
      <c r="F15" s="7"/>
    </row>
    <row r="16" spans="1:6" x14ac:dyDescent="0.35">
      <c r="A16" s="7" t="s">
        <v>24</v>
      </c>
      <c r="B16" s="7">
        <v>8.0299999999999994</v>
      </c>
      <c r="C16" s="7">
        <f t="shared" si="0"/>
        <v>13</v>
      </c>
      <c r="D16" s="7"/>
      <c r="E16" s="7"/>
      <c r="F16" s="7"/>
    </row>
    <row r="17" spans="1:6" x14ac:dyDescent="0.35">
      <c r="A17" s="7" t="s">
        <v>20</v>
      </c>
      <c r="B17" s="7">
        <v>7.87</v>
      </c>
      <c r="C17" s="7">
        <f t="shared" si="0"/>
        <v>14</v>
      </c>
      <c r="D17" s="7"/>
      <c r="E17" s="7"/>
      <c r="F17" s="7"/>
    </row>
    <row r="18" spans="1:6" x14ac:dyDescent="0.35">
      <c r="A18" s="7" t="s">
        <v>13</v>
      </c>
      <c r="B18" s="7">
        <v>7.19</v>
      </c>
      <c r="C18" s="7">
        <f t="shared" si="0"/>
        <v>15</v>
      </c>
      <c r="D18" s="7"/>
      <c r="E18" s="7"/>
      <c r="F18" s="7"/>
    </row>
    <row r="19" spans="1:6" x14ac:dyDescent="0.35">
      <c r="A19" s="7" t="s">
        <v>21</v>
      </c>
      <c r="B19" s="7">
        <v>7.08</v>
      </c>
      <c r="C19" s="7">
        <f t="shared" si="0"/>
        <v>16</v>
      </c>
      <c r="D19" s="7"/>
      <c r="E19" s="7"/>
      <c r="F19" s="7"/>
    </row>
    <row r="20" spans="1:6" x14ac:dyDescent="0.35">
      <c r="A20" s="7" t="s">
        <v>8</v>
      </c>
      <c r="B20" s="7">
        <v>6.9</v>
      </c>
      <c r="C20" s="7">
        <f t="shared" si="0"/>
        <v>17</v>
      </c>
      <c r="D20" s="7"/>
      <c r="E20" s="7"/>
      <c r="F20" s="7"/>
    </row>
    <row r="21" spans="1:6" x14ac:dyDescent="0.35">
      <c r="A21" s="7" t="s">
        <v>8</v>
      </c>
      <c r="B21" s="7">
        <v>6.41</v>
      </c>
      <c r="C21" s="7">
        <f t="shared" si="0"/>
        <v>18</v>
      </c>
      <c r="D21" s="7"/>
      <c r="E21" s="7"/>
      <c r="F21" s="7"/>
    </row>
    <row r="22" spans="1:6" x14ac:dyDescent="0.35">
      <c r="A22" s="7" t="s">
        <v>7</v>
      </c>
      <c r="B22" s="7">
        <v>6.26</v>
      </c>
      <c r="C22" s="7">
        <f t="shared" si="0"/>
        <v>19</v>
      </c>
      <c r="D22" s="7"/>
      <c r="E22" s="7"/>
      <c r="F22" s="7"/>
    </row>
    <row r="23" spans="1:6" x14ac:dyDescent="0.35">
      <c r="A23" s="7" t="s">
        <v>10</v>
      </c>
      <c r="B23" s="7">
        <v>6.04</v>
      </c>
      <c r="C23" s="7">
        <f t="shared" si="0"/>
        <v>20</v>
      </c>
      <c r="D23" s="7"/>
      <c r="E23" s="7"/>
      <c r="F23" s="7"/>
    </row>
    <row r="24" spans="1:6" x14ac:dyDescent="0.35">
      <c r="A24" s="7" t="s">
        <v>7</v>
      </c>
      <c r="B24" s="7">
        <v>5.89</v>
      </c>
      <c r="C24" s="7">
        <f t="shared" si="0"/>
        <v>21</v>
      </c>
      <c r="D24" s="7"/>
      <c r="E24" s="7"/>
      <c r="F24" s="7"/>
    </row>
    <row r="25" spans="1:6" x14ac:dyDescent="0.35">
      <c r="A25" s="7" t="s">
        <v>27</v>
      </c>
      <c r="B25" s="7">
        <v>5.73</v>
      </c>
      <c r="C25" s="7">
        <f t="shared" si="0"/>
        <v>22</v>
      </c>
      <c r="D25" s="7"/>
      <c r="E25" s="7"/>
      <c r="F25" s="7"/>
    </row>
    <row r="26" spans="1:6" x14ac:dyDescent="0.35">
      <c r="A26" s="7" t="s">
        <v>22</v>
      </c>
      <c r="B26" s="7">
        <v>4.3600000000000003</v>
      </c>
      <c r="C26" s="7">
        <f t="shared" si="0"/>
        <v>23</v>
      </c>
      <c r="D26" s="7"/>
      <c r="E26" s="7"/>
      <c r="F26" s="7"/>
    </row>
    <row r="27" spans="1:6" x14ac:dyDescent="0.35">
      <c r="A27" s="7" t="s">
        <v>26</v>
      </c>
      <c r="B27" s="7">
        <v>4.2</v>
      </c>
      <c r="C27" s="7">
        <f t="shared" si="0"/>
        <v>24</v>
      </c>
      <c r="D27" s="7"/>
      <c r="E27" s="7"/>
      <c r="F27" s="7"/>
    </row>
    <row r="28" spans="1:6" x14ac:dyDescent="0.35">
      <c r="A28" s="7" t="s">
        <v>22</v>
      </c>
      <c r="B28" s="7">
        <v>3.96</v>
      </c>
      <c r="C28" s="7">
        <f t="shared" si="0"/>
        <v>25</v>
      </c>
      <c r="D28" s="7"/>
      <c r="E28" s="7"/>
      <c r="F28" s="7"/>
    </row>
    <row r="29" spans="1:6" x14ac:dyDescent="0.35">
      <c r="A29" s="7" t="s">
        <v>10</v>
      </c>
      <c r="B29" s="7">
        <v>3.78</v>
      </c>
      <c r="C29" s="7">
        <f t="shared" si="0"/>
        <v>26</v>
      </c>
      <c r="D29" s="7"/>
      <c r="E29" s="7"/>
      <c r="F29" s="7"/>
    </row>
    <row r="30" spans="1:6" x14ac:dyDescent="0.35">
      <c r="A30" s="7" t="s">
        <v>25</v>
      </c>
      <c r="B30" s="7">
        <v>2.31</v>
      </c>
      <c r="C30" s="7">
        <f t="shared" si="0"/>
        <v>27</v>
      </c>
      <c r="D30" s="7"/>
      <c r="E30" s="7"/>
      <c r="F30" s="7"/>
    </row>
    <row r="32" spans="1:6" ht="30" x14ac:dyDescent="0.35">
      <c r="A32" s="5" t="s">
        <v>0</v>
      </c>
      <c r="B32" s="6" t="s">
        <v>1</v>
      </c>
      <c r="C32" s="5" t="s">
        <v>2</v>
      </c>
    </row>
    <row r="33" spans="1:3" x14ac:dyDescent="0.35">
      <c r="A33" s="7" t="s">
        <v>22</v>
      </c>
      <c r="B33" s="7">
        <v>4.3600000000000003</v>
      </c>
      <c r="C33" s="7">
        <f>RANK(B33,$B$4:$B$30,0)</f>
        <v>23</v>
      </c>
    </row>
    <row r="34" spans="1:3" x14ac:dyDescent="0.35">
      <c r="A34" s="7" t="s">
        <v>26</v>
      </c>
      <c r="B34" s="7">
        <v>4.2</v>
      </c>
      <c r="C34" s="7">
        <f>RANK(B34,$B$4:$B$30,0)</f>
        <v>24</v>
      </c>
    </row>
    <row r="35" spans="1:3" x14ac:dyDescent="0.35">
      <c r="A35" s="7" t="s">
        <v>22</v>
      </c>
      <c r="B35" s="7">
        <v>3.96</v>
      </c>
      <c r="C35" s="7">
        <f>RANK(B35,$B$4:$B$30,0)</f>
        <v>25</v>
      </c>
    </row>
    <row r="36" spans="1:3" x14ac:dyDescent="0.35">
      <c r="A36" s="7" t="s">
        <v>10</v>
      </c>
      <c r="B36" s="7">
        <v>3.78</v>
      </c>
      <c r="C36" s="7">
        <f>RANK(B36,$B$4:$B$30,0)</f>
        <v>26</v>
      </c>
    </row>
    <row r="37" spans="1:3" x14ac:dyDescent="0.35">
      <c r="A37" s="7" t="s">
        <v>25</v>
      </c>
      <c r="B37" s="7">
        <v>2.31</v>
      </c>
      <c r="C37" s="7">
        <f>RANK(B37,$B$4:$B$30,0)</f>
        <v>27</v>
      </c>
    </row>
  </sheetData>
  <sortState xmlns:xlrd2="http://schemas.microsoft.com/office/spreadsheetml/2017/richdata2" ref="A4:F30">
    <sortCondition ref="C4:C3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2026-05-27T06:03:54Z</dcterms:created>
  <dcterms:modified xsi:type="dcterms:W3CDTF">2026-06-02T06:35:40Z</dcterms:modified>
</cp:coreProperties>
</file>